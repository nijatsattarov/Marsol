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B9DEDAB4-5C00-47B4-A8B7-63715E6C25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ərgi" sheetId="8" r:id="rId1"/>
    <sheet name="reqem" sheetId="19" r:id="rId2"/>
  </sheets>
  <calcPr calcId="191029"/>
</workbook>
</file>

<file path=xl/calcChain.xml><?xml version="1.0" encoding="utf-8"?>
<calcChain xmlns="http://schemas.openxmlformats.org/spreadsheetml/2006/main">
  <c r="G20" i="8" l="1"/>
  <c r="G21" i="8" l="1"/>
  <c r="G22" i="8" l="1"/>
  <c r="G23" i="8" s="1"/>
  <c r="E2" i="19" s="1"/>
  <c r="E13" i="19" l="1"/>
  <c r="A29" i="19" s="1"/>
  <c r="A31" i="19" l="1"/>
  <c r="C31" i="19" s="1"/>
  <c r="B29" i="19"/>
  <c r="E29" i="19" s="1"/>
  <c r="A28" i="19"/>
  <c r="A27" i="19" l="1"/>
  <c r="B28" i="19"/>
  <c r="C32" i="19"/>
  <c r="E32" i="19" s="1"/>
  <c r="E31" i="19"/>
  <c r="A12" i="19" l="1"/>
  <c r="C29" i="19"/>
  <c r="C28" i="19"/>
  <c r="E28" i="19" s="1"/>
  <c r="A25" i="19"/>
  <c r="B27" i="19"/>
  <c r="C27" i="19" l="1"/>
  <c r="E27" i="19"/>
  <c r="E30" i="19"/>
  <c r="A24" i="19"/>
  <c r="B25" i="19"/>
  <c r="E25" i="19" s="1"/>
  <c r="F29" i="19"/>
  <c r="D29" i="19"/>
  <c r="A23" i="19" l="1"/>
  <c r="B24" i="19"/>
  <c r="C24" i="19" l="1"/>
  <c r="E24" i="19" s="1"/>
  <c r="C25" i="19"/>
  <c r="A21" i="19"/>
  <c r="B23" i="19"/>
  <c r="E26" i="19" l="1"/>
  <c r="E23" i="19"/>
  <c r="C23" i="19"/>
  <c r="B21" i="19"/>
  <c r="A20" i="19"/>
  <c r="F25" i="19"/>
  <c r="D25" i="19"/>
  <c r="E21" i="19" l="1"/>
  <c r="A19" i="19"/>
  <c r="B20" i="19"/>
  <c r="F26" i="19"/>
  <c r="A10" i="19" s="1"/>
  <c r="C20" i="19" l="1"/>
  <c r="E20" i="19" s="1"/>
  <c r="C21" i="19"/>
  <c r="A17" i="19"/>
  <c r="B19" i="19"/>
  <c r="E19" i="19" l="1"/>
  <c r="C19" i="19"/>
  <c r="B17" i="19"/>
  <c r="A16" i="19"/>
  <c r="E22" i="19"/>
  <c r="F21" i="19"/>
  <c r="D21" i="19"/>
  <c r="E17" i="19" l="1"/>
  <c r="F22" i="19"/>
  <c r="A9" i="19" s="1"/>
  <c r="A15" i="19"/>
  <c r="B16" i="19"/>
  <c r="C17" i="19" l="1"/>
  <c r="C16" i="19"/>
  <c r="E16" i="19" s="1"/>
  <c r="B15" i="19"/>
  <c r="A14" i="19"/>
  <c r="C15" i="19" l="1"/>
  <c r="E15" i="19"/>
  <c r="E18" i="19"/>
  <c r="D17" i="19"/>
  <c r="F17" i="19"/>
  <c r="F18" i="19" l="1"/>
  <c r="A8" i="19" s="1"/>
  <c r="F30" i="19"/>
  <c r="A11" i="19" s="1"/>
  <c r="B5" i="19" l="1"/>
  <c r="B6" i="19"/>
  <c r="F8" i="19" l="1"/>
  <c r="F9" i="19" s="1"/>
  <c r="F10" i="19" s="1"/>
  <c r="B4" i="19" l="1"/>
  <c r="B3" i="19"/>
  <c r="D25" i="8" s="1"/>
</calcChain>
</file>

<file path=xl/sharedStrings.xml><?xml version="1.0" encoding="utf-8"?>
<sst xmlns="http://schemas.openxmlformats.org/spreadsheetml/2006/main" count="76" uniqueCount="74">
  <si>
    <t>Valyuta:</t>
  </si>
  <si>
    <t>Tarix:</t>
  </si>
  <si>
    <t>ƏDV:</t>
  </si>
  <si>
    <t>SWIFT:</t>
  </si>
  <si>
    <t>M./h :</t>
  </si>
  <si>
    <t>H./h :</t>
  </si>
  <si>
    <t>Cəmi (ƏDV-siz):</t>
  </si>
  <si>
    <t>Cəmi (ƏDV-ilə):</t>
  </si>
  <si>
    <t>Hesabı təqdim edən: “MARSOL” MMC</t>
  </si>
  <si>
    <t>VÖEN : 2004204701</t>
  </si>
  <si>
    <t>X/H</t>
  </si>
  <si>
    <t>AZ41AIIB40060019440152635107</t>
  </si>
  <si>
    <t>AZ37NABZ01350100000000001944</t>
  </si>
  <si>
    <t xml:space="preserve">AIIBAZ2X </t>
  </si>
  <si>
    <t>Direktor</t>
  </si>
  <si>
    <t>Miqdarı</t>
  </si>
  <si>
    <t>Qiyməti</t>
  </si>
  <si>
    <t>Xidmət</t>
  </si>
  <si>
    <t>Ölçü vahidi</t>
  </si>
  <si>
    <t>Cəmi</t>
  </si>
  <si>
    <t>manat</t>
  </si>
  <si>
    <t>qəpik</t>
  </si>
  <si>
    <t xml:space="preserve">bir </t>
  </si>
  <si>
    <t xml:space="preserve">on </t>
  </si>
  <si>
    <t xml:space="preserve">iki </t>
  </si>
  <si>
    <t xml:space="preserve">on bir </t>
  </si>
  <si>
    <t xml:space="preserve">iyirmi </t>
  </si>
  <si>
    <t xml:space="preserve">iki yüz </t>
  </si>
  <si>
    <t xml:space="preserve">üç </t>
  </si>
  <si>
    <t xml:space="preserve">on iki </t>
  </si>
  <si>
    <t xml:space="preserve">otuz </t>
  </si>
  <si>
    <t xml:space="preserve">üç yüz </t>
  </si>
  <si>
    <t xml:space="preserve">dörd </t>
  </si>
  <si>
    <t xml:space="preserve">on üç </t>
  </si>
  <si>
    <t xml:space="preserve">qırx </t>
  </si>
  <si>
    <t xml:space="preserve">dörd yüz </t>
  </si>
  <si>
    <t xml:space="preserve">beş </t>
  </si>
  <si>
    <t xml:space="preserve">on dörd </t>
  </si>
  <si>
    <t xml:space="preserve">əlli </t>
  </si>
  <si>
    <t xml:space="preserve">beş yüz </t>
  </si>
  <si>
    <t xml:space="preserve">altı </t>
  </si>
  <si>
    <t xml:space="preserve">on beş </t>
  </si>
  <si>
    <t xml:space="preserve">altmış </t>
  </si>
  <si>
    <t xml:space="preserve">altı yüz </t>
  </si>
  <si>
    <t xml:space="preserve">yeddi </t>
  </si>
  <si>
    <t xml:space="preserve">on altı </t>
  </si>
  <si>
    <t xml:space="preserve">yetmiş </t>
  </si>
  <si>
    <t xml:space="preserve">yeddi yüz </t>
  </si>
  <si>
    <t xml:space="preserve">səkkiz </t>
  </si>
  <si>
    <t xml:space="preserve">on yeddi </t>
  </si>
  <si>
    <t xml:space="preserve">səksən </t>
  </si>
  <si>
    <t xml:space="preserve">səkkiz yüz </t>
  </si>
  <si>
    <t xml:space="preserve">doqquz </t>
  </si>
  <si>
    <t xml:space="preserve">on səkkiz </t>
  </si>
  <si>
    <t xml:space="preserve">doxsan </t>
  </si>
  <si>
    <t xml:space="preserve">doqquz yüz </t>
  </si>
  <si>
    <t xml:space="preserve">on doqquz </t>
  </si>
  <si>
    <t xml:space="preserve">yüz </t>
  </si>
  <si>
    <t xml:space="preserve">*Ödəniləcək məbləğ, ƏDV ilə: </t>
  </si>
  <si>
    <t xml:space="preserve">                                                                                                                                                </t>
  </si>
  <si>
    <t>Müqavilə №:</t>
  </si>
  <si>
    <r>
      <rPr>
        <b/>
        <sz val="12"/>
        <rFont val="Times New Roman"/>
        <family val="1"/>
      </rPr>
      <t>Bank :</t>
    </r>
    <r>
      <rPr>
        <sz val="12"/>
        <rFont val="Times New Roman"/>
        <family val="1"/>
      </rPr>
      <t xml:space="preserve"> </t>
    </r>
  </si>
  <si>
    <t xml:space="preserve">Müqavilənin tarixi: </t>
  </si>
  <si>
    <t xml:space="preserve">  AZN</t>
  </si>
  <si>
    <t>"Yerli şirkətlərin tanıtım sərgisi"-də iştirak</t>
  </si>
  <si>
    <t>Bilal Qasımlı</t>
  </si>
  <si>
    <t>KapitalBank ASC,Port Baku filialı</t>
  </si>
  <si>
    <r>
      <t>VÖEN:</t>
    </r>
    <r>
      <rPr>
        <sz val="12"/>
        <rFont val="Times New Roman"/>
        <family val="1"/>
        <charset val="204"/>
      </rPr>
      <t>9900003611</t>
    </r>
  </si>
  <si>
    <r>
      <t>Kodu:</t>
    </r>
    <r>
      <rPr>
        <sz val="12"/>
        <rFont val="Times New Roman"/>
        <family val="1"/>
        <charset val="204"/>
      </rPr>
      <t>201973</t>
    </r>
  </si>
  <si>
    <t xml:space="preserve">Qeyd: Müqaviləyə əsasən Sifarişçiyə təqdim edilmiş Hesab fakturada İlkin ödəniş  olaraq xidmət haqqının 20 %-i müqavilə qüvvəyə mindiyi tarixdən ən geci 1 (bir) ay ərzində ödənilməlidir. Xidmət haqqının qalan hissəsi isə 31 Dekabr 2026-cı il tarixinə kimi  tamamlanmalıdır.     </t>
  </si>
  <si>
    <t xml:space="preserve">HESAB-FAKTURA No TS058/26 </t>
  </si>
  <si>
    <t>TS058/26</t>
  </si>
  <si>
    <t xml:space="preserve">VÖEN: 6000886591    </t>
  </si>
  <si>
    <t xml:space="preserve"> Hesabı alan:PROMO EXPO  MMC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</si>
</sst>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[$р.-419]_-;\-* #,##0.00[$р.-419]_-;_-* &quot;-&quot;??[$р.-419]_-;_-@_-"/>
  </numFmts>
  <fonts count="29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 tint="0.34998626667073579"/>
      <name val="Times New Roman"/>
      <family val="1"/>
      <charset val="204"/>
    </font>
    <font>
      <sz val="10"/>
      <name val="Arial Cyr"/>
      <charset val="204"/>
    </font>
    <font>
      <b/>
      <sz val="10"/>
      <name val="Arial Cyr"/>
      <family val="2"/>
      <charset val="204"/>
    </font>
    <font>
      <b/>
      <sz val="14"/>
      <name val="Arial Cyr"/>
      <family val="2"/>
      <charset val="204"/>
    </font>
    <font>
      <sz val="8"/>
      <color indexed="17"/>
      <name val="Arial Cyr"/>
      <family val="2"/>
      <charset val="204"/>
    </font>
    <font>
      <b/>
      <sz val="10"/>
      <name val="Arial Cyr"/>
    </font>
    <font>
      <b/>
      <sz val="12"/>
      <name val="Arial Cyr"/>
      <family val="2"/>
      <charset val="204"/>
    </font>
    <font>
      <sz val="8"/>
      <color indexed="17"/>
      <name val="Arial Cyr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12"/>
      <color theme="1" tint="0.249977111117893"/>
      <name val="Times New Roman"/>
      <family val="1"/>
    </font>
    <font>
      <b/>
      <sz val="12"/>
      <color theme="1" tint="0.249977111117893"/>
      <name val="Times New Roman"/>
      <family val="1"/>
    </font>
    <font>
      <sz val="10"/>
      <color theme="1" tint="0.249977111117893"/>
      <name val="Times New Roman"/>
      <family val="1"/>
    </font>
    <font>
      <sz val="9.5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3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2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66">
    <xf numFmtId="0" fontId="0" fillId="0" borderId="0" xfId="0"/>
    <xf numFmtId="0" fontId="1" fillId="3" borderId="0" xfId="0" applyFont="1" applyFill="1"/>
    <xf numFmtId="0" fontId="2" fillId="0" borderId="0" xfId="0" applyFont="1"/>
    <xf numFmtId="0" fontId="3" fillId="0" borderId="0" xfId="0" applyFont="1"/>
    <xf numFmtId="0" fontId="5" fillId="0" borderId="0" xfId="1" applyFont="1" applyAlignment="1">
      <alignment horizontal="right"/>
    </xf>
    <xf numFmtId="0" fontId="5" fillId="0" borderId="0" xfId="1" applyFont="1"/>
    <xf numFmtId="4" fontId="6" fillId="4" borderId="0" xfId="1" applyNumberFormat="1" applyFont="1" applyFill="1"/>
    <xf numFmtId="0" fontId="7" fillId="0" borderId="0" xfId="1" applyFont="1"/>
    <xf numFmtId="0" fontId="8" fillId="0" borderId="0" xfId="1" applyFont="1"/>
    <xf numFmtId="0" fontId="4" fillId="0" borderId="0" xfId="1"/>
    <xf numFmtId="4" fontId="9" fillId="0" borderId="0" xfId="1" applyNumberFormat="1" applyFont="1" applyAlignment="1">
      <alignment horizontal="right"/>
    </xf>
    <xf numFmtId="0" fontId="10" fillId="0" borderId="0" xfId="1" applyFont="1"/>
    <xf numFmtId="0" fontId="4" fillId="0" borderId="0" xfId="1" applyAlignment="1">
      <alignment horizontal="right"/>
    </xf>
    <xf numFmtId="0" fontId="11" fillId="0" borderId="0" xfId="1" applyFont="1"/>
    <xf numFmtId="0" fontId="5" fillId="0" borderId="0" xfId="1" applyFont="1" applyAlignment="1">
      <alignment horizontal="center"/>
    </xf>
    <xf numFmtId="0" fontId="12" fillId="0" borderId="0" xfId="1" applyFont="1"/>
    <xf numFmtId="0" fontId="13" fillId="0" borderId="0" xfId="1" applyFont="1"/>
    <xf numFmtId="164" fontId="4" fillId="0" borderId="0" xfId="1" applyNumberFormat="1"/>
    <xf numFmtId="2" fontId="4" fillId="0" borderId="0" xfId="1" applyNumberFormat="1" applyAlignment="1">
      <alignment horizontal="right"/>
    </xf>
    <xf numFmtId="0" fontId="13" fillId="0" borderId="0" xfId="1" applyFont="1" applyAlignment="1">
      <alignment horizontal="right"/>
    </xf>
    <xf numFmtId="0" fontId="14" fillId="0" borderId="0" xfId="1" applyFont="1" applyAlignment="1">
      <alignment shrinkToFit="1"/>
    </xf>
    <xf numFmtId="0" fontId="13" fillId="0" borderId="0" xfId="1" applyFont="1" applyAlignment="1">
      <alignment horizontal="left"/>
    </xf>
    <xf numFmtId="0" fontId="15" fillId="0" borderId="0" xfId="1" applyFont="1"/>
    <xf numFmtId="4" fontId="15" fillId="0" borderId="0" xfId="1" applyNumberFormat="1" applyFont="1" applyAlignment="1">
      <alignment horizontal="right"/>
    </xf>
    <xf numFmtId="4" fontId="13" fillId="0" borderId="0" xfId="1" applyNumberFormat="1" applyFont="1" applyAlignment="1">
      <alignment horizontal="left"/>
    </xf>
    <xf numFmtId="0" fontId="16" fillId="0" borderId="0" xfId="1" applyFont="1"/>
    <xf numFmtId="0" fontId="16" fillId="0" borderId="0" xfId="1" applyFont="1" applyAlignment="1">
      <alignment shrinkToFit="1"/>
    </xf>
    <xf numFmtId="0" fontId="17" fillId="0" borderId="0" xfId="1" applyFont="1" applyAlignment="1">
      <alignment shrinkToFit="1"/>
    </xf>
    <xf numFmtId="3" fontId="13" fillId="0" borderId="0" xfId="1" applyNumberFormat="1" applyFont="1"/>
    <xf numFmtId="0" fontId="15" fillId="0" borderId="0" xfId="1" applyFont="1" applyAlignment="1">
      <alignment horizontal="right"/>
    </xf>
    <xf numFmtId="1" fontId="13" fillId="0" borderId="0" xfId="1" applyNumberFormat="1" applyFont="1" applyAlignment="1">
      <alignment horizontal="right"/>
    </xf>
    <xf numFmtId="0" fontId="18" fillId="0" borderId="0" xfId="1" applyFont="1"/>
    <xf numFmtId="0" fontId="19" fillId="0" borderId="0" xfId="0" applyFont="1"/>
    <xf numFmtId="0" fontId="21" fillId="0" borderId="0" xfId="0" applyFont="1" applyAlignment="1">
      <alignment vertical="center"/>
    </xf>
    <xf numFmtId="0" fontId="19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22" fillId="0" borderId="0" xfId="0" applyFont="1" applyAlignment="1">
      <alignment vertical="center"/>
    </xf>
    <xf numFmtId="0" fontId="23" fillId="0" borderId="0" xfId="0" applyFont="1"/>
    <xf numFmtId="0" fontId="23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0" fontId="24" fillId="0" borderId="0" xfId="0" applyFont="1"/>
    <xf numFmtId="0" fontId="24" fillId="0" borderId="0" xfId="0" applyFont="1" applyAlignment="1">
      <alignment horizontal="center"/>
    </xf>
    <xf numFmtId="14" fontId="23" fillId="0" borderId="0" xfId="0" applyNumberFormat="1" applyFont="1" applyAlignment="1">
      <alignment horizontal="center"/>
    </xf>
    <xf numFmtId="14" fontId="24" fillId="0" borderId="0" xfId="0" applyNumberFormat="1" applyFont="1" applyAlignment="1">
      <alignment horizontal="right"/>
    </xf>
    <xf numFmtId="49" fontId="24" fillId="0" borderId="0" xfId="0" applyNumberFormat="1" applyFont="1" applyAlignment="1">
      <alignment horizontal="left"/>
    </xf>
    <xf numFmtId="4" fontId="23" fillId="0" borderId="0" xfId="0" applyNumberFormat="1" applyFont="1"/>
    <xf numFmtId="0" fontId="23" fillId="0" borderId="2" xfId="0" applyFont="1" applyBorder="1"/>
    <xf numFmtId="0" fontId="24" fillId="2" borderId="1" xfId="0" applyFont="1" applyFill="1" applyBorder="1" applyAlignment="1">
      <alignment horizontal="center" wrapText="1"/>
    </xf>
    <xf numFmtId="0" fontId="24" fillId="2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4" fontId="23" fillId="0" borderId="1" xfId="0" applyNumberFormat="1" applyFont="1" applyBorder="1" applyAlignment="1">
      <alignment horizontal="right" vertical="center"/>
    </xf>
    <xf numFmtId="4" fontId="24" fillId="0" borderId="1" xfId="0" applyNumberFormat="1" applyFont="1" applyBorder="1" applyAlignment="1">
      <alignment horizontal="right"/>
    </xf>
    <xf numFmtId="43" fontId="24" fillId="0" borderId="1" xfId="0" applyNumberFormat="1" applyFont="1" applyBorder="1" applyAlignment="1">
      <alignment horizontal="right"/>
    </xf>
    <xf numFmtId="4" fontId="24" fillId="0" borderId="0" xfId="0" applyNumberFormat="1" applyFont="1" applyAlignment="1">
      <alignment horizontal="right"/>
    </xf>
    <xf numFmtId="2" fontId="23" fillId="0" borderId="0" xfId="0" applyNumberFormat="1" applyFont="1" applyAlignment="1">
      <alignment horizontal="left"/>
    </xf>
    <xf numFmtId="0" fontId="23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6" fillId="0" borderId="0" xfId="0" applyFont="1"/>
    <xf numFmtId="0" fontId="27" fillId="0" borderId="0" xfId="0" applyFont="1"/>
    <xf numFmtId="0" fontId="26" fillId="0" borderId="0" xfId="0" applyFont="1" applyAlignment="1">
      <alignment horizontal="right" vertical="top"/>
    </xf>
    <xf numFmtId="0" fontId="28" fillId="0" borderId="0" xfId="0" applyFont="1" applyAlignment="1">
      <alignment horizontal="right"/>
    </xf>
    <xf numFmtId="0" fontId="23" fillId="0" borderId="0" xfId="0" applyFont="1" applyAlignment="1">
      <alignment horizontal="left" wrapText="1"/>
    </xf>
    <xf numFmtId="0" fontId="25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23" fillId="0" borderId="0" xfId="0" applyFont="1" applyAlignment="1">
      <alignment horizontal="left" wrapText="1"/>
    </xf>
  </cellXfs>
  <cellStyles count="2">
    <cellStyle name="Normal" xfId="0" builtinId="0"/>
    <cellStyle name="Обычный_Сч-фактура" xfId="1" xr:uid="{B3B87409-3E1C-4643-9700-F633000DD0DD}"/>
  </cellStyles>
  <dxfs count="0"/>
  <tableStyles count="0" defaultTableStyle="TableStyleMedium9" defaultPivotStyle="PivotStyleLight16"/>
  <colors>
    <mruColors>
      <color rgb="FF292929"/>
      <color rgb="FF1C1C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87281</xdr:colOff>
      <xdr:row>2</xdr:row>
      <xdr:rowOff>106718</xdr:rowOff>
    </xdr:from>
    <xdr:to>
      <xdr:col>6</xdr:col>
      <xdr:colOff>966691</xdr:colOff>
      <xdr:row>3</xdr:row>
      <xdr:rowOff>26436</xdr:rowOff>
    </xdr:to>
    <xdr:pic>
      <xdr:nvPicPr>
        <xdr:cNvPr id="4" name="image9.png">
          <a:extLst>
            <a:ext uri="{FF2B5EF4-FFF2-40B4-BE49-F238E27FC236}">
              <a16:creationId xmlns:a16="http://schemas.microsoft.com/office/drawing/2014/main" id="{5317BEAC-741F-372B-64E7-572CB323F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3786" y="514932"/>
          <a:ext cx="87941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106914</xdr:colOff>
      <xdr:row>1</xdr:row>
      <xdr:rowOff>155511</xdr:rowOff>
    </xdr:from>
    <xdr:to>
      <xdr:col>2</xdr:col>
      <xdr:colOff>1230864</xdr:colOff>
      <xdr:row>3</xdr:row>
      <xdr:rowOff>184086</xdr:rowOff>
    </xdr:to>
    <xdr:pic>
      <xdr:nvPicPr>
        <xdr:cNvPr id="5" name="Resim 6">
          <a:extLst>
            <a:ext uri="{FF2B5EF4-FFF2-40B4-BE49-F238E27FC236}">
              <a16:creationId xmlns:a16="http://schemas.microsoft.com/office/drawing/2014/main" id="{C070BEF9-A871-B286-C952-558E9869B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14" y="359618"/>
          <a:ext cx="1648797" cy="436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</xdr:row>
      <xdr:rowOff>94472</xdr:rowOff>
    </xdr:from>
    <xdr:to>
      <xdr:col>6</xdr:col>
      <xdr:colOff>900599</xdr:colOff>
      <xdr:row>5</xdr:row>
      <xdr:rowOff>38100</xdr:rowOff>
    </xdr:to>
    <xdr:grpSp>
      <xdr:nvGrpSpPr>
        <xdr:cNvPr id="6" name="Group 15">
          <a:extLst>
            <a:ext uri="{FF2B5EF4-FFF2-40B4-BE49-F238E27FC236}">
              <a16:creationId xmlns:a16="http://schemas.microsoft.com/office/drawing/2014/main" id="{A9A51CE0-01F2-508E-5097-8DEE57320EA8}"/>
            </a:ext>
          </a:extLst>
        </xdr:cNvPr>
        <xdr:cNvGrpSpPr>
          <a:grpSpLocks/>
        </xdr:cNvGrpSpPr>
      </xdr:nvGrpSpPr>
      <xdr:grpSpPr bwMode="auto">
        <a:xfrm>
          <a:off x="0" y="894572"/>
          <a:ext cx="5853599" cy="143653"/>
          <a:chOff x="413" y="-635"/>
          <a:chExt cx="11120" cy="205"/>
        </a:xfrm>
      </xdr:grpSpPr>
      <xdr:sp macro="" textlink="">
        <xdr:nvSpPr>
          <xdr:cNvPr id="7" name="Rectangle 17">
            <a:extLst>
              <a:ext uri="{FF2B5EF4-FFF2-40B4-BE49-F238E27FC236}">
                <a16:creationId xmlns:a16="http://schemas.microsoft.com/office/drawing/2014/main" id="{1481A87A-6A01-5A02-849B-BB1A56C4BA9A}"/>
              </a:ext>
            </a:extLst>
          </xdr:cNvPr>
          <xdr:cNvSpPr>
            <a:spLocks noChangeArrowheads="1"/>
          </xdr:cNvSpPr>
        </xdr:nvSpPr>
        <xdr:spPr bwMode="auto">
          <a:xfrm>
            <a:off x="412" y="-636"/>
            <a:ext cx="5545" cy="205"/>
          </a:xfrm>
          <a:prstGeom prst="rect">
            <a:avLst/>
          </a:prstGeom>
          <a:solidFill>
            <a:srgbClr val="6BAE4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ru-RU"/>
          </a:p>
        </xdr:txBody>
      </xdr:sp>
      <xdr:sp macro="" textlink="">
        <xdr:nvSpPr>
          <xdr:cNvPr id="8" name="Rectangle 16">
            <a:extLst>
              <a:ext uri="{FF2B5EF4-FFF2-40B4-BE49-F238E27FC236}">
                <a16:creationId xmlns:a16="http://schemas.microsoft.com/office/drawing/2014/main" id="{91EE4FCF-5709-24CD-AA80-304AB9FC2526}"/>
              </a:ext>
            </a:extLst>
          </xdr:cNvPr>
          <xdr:cNvSpPr>
            <a:spLocks noChangeArrowheads="1"/>
          </xdr:cNvSpPr>
        </xdr:nvSpPr>
        <xdr:spPr bwMode="auto">
          <a:xfrm>
            <a:off x="5957" y="-636"/>
            <a:ext cx="5576" cy="205"/>
          </a:xfrm>
          <a:prstGeom prst="rect">
            <a:avLst/>
          </a:prstGeom>
          <a:solidFill>
            <a:srgbClr val="231F2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ru-RU"/>
          </a:p>
        </xdr:txBody>
      </xdr:sp>
    </xdr:grpSp>
    <xdr:clientData/>
  </xdr:twoCellAnchor>
  <xdr:twoCellAnchor>
    <xdr:from>
      <xdr:col>2</xdr:col>
      <xdr:colOff>1431083</xdr:colOff>
      <xdr:row>1</xdr:row>
      <xdr:rowOff>173977</xdr:rowOff>
    </xdr:from>
    <xdr:to>
      <xdr:col>4</xdr:col>
      <xdr:colOff>233266</xdr:colOff>
      <xdr:row>3</xdr:row>
      <xdr:rowOff>46070</xdr:rowOff>
    </xdr:to>
    <xdr:pic>
      <xdr:nvPicPr>
        <xdr:cNvPr id="9" name="image1.png">
          <a:extLst>
            <a:ext uri="{FF2B5EF4-FFF2-40B4-BE49-F238E27FC236}">
              <a16:creationId xmlns:a16="http://schemas.microsoft.com/office/drawing/2014/main" id="{6858CB5D-B029-0433-1F0C-483B85DC3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5649" y="378084"/>
          <a:ext cx="2067898" cy="2803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77755</xdr:colOff>
      <xdr:row>1</xdr:row>
      <xdr:rowOff>145014</xdr:rowOff>
    </xdr:from>
    <xdr:to>
      <xdr:col>6</xdr:col>
      <xdr:colOff>941809</xdr:colOff>
      <xdr:row>2</xdr:row>
      <xdr:rowOff>36157</xdr:rowOff>
    </xdr:to>
    <xdr:pic>
      <xdr:nvPicPr>
        <xdr:cNvPr id="10" name="image8.png">
          <a:extLst>
            <a:ext uri="{FF2B5EF4-FFF2-40B4-BE49-F238E27FC236}">
              <a16:creationId xmlns:a16="http://schemas.microsoft.com/office/drawing/2014/main" id="{850964BD-8FA9-455E-6189-F44ED3EFF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4260" y="349121"/>
          <a:ext cx="864054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309855</xdr:colOff>
      <xdr:row>1</xdr:row>
      <xdr:rowOff>84170</xdr:rowOff>
    </xdr:from>
    <xdr:to>
      <xdr:col>5</xdr:col>
      <xdr:colOff>779341</xdr:colOff>
      <xdr:row>4</xdr:row>
      <xdr:rowOff>28108</xdr:rowOff>
    </xdr:to>
    <xdr:sp macro="" textlink="">
      <xdr:nvSpPr>
        <xdr:cNvPr id="11" name="Metin Kutusu 8">
          <a:extLst>
            <a:ext uri="{FF2B5EF4-FFF2-40B4-BE49-F238E27FC236}">
              <a16:creationId xmlns:a16="http://schemas.microsoft.com/office/drawing/2014/main" id="{05EEE1CB-6474-31A9-6878-E8CC6716B5E7}"/>
            </a:ext>
          </a:extLst>
        </xdr:cNvPr>
        <xdr:cNvSpPr txBox="1"/>
      </xdr:nvSpPr>
      <xdr:spPr>
        <a:xfrm>
          <a:off x="4110136" y="288277"/>
          <a:ext cx="1188720" cy="5562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r>
            <a:rPr lang="ru-RU" sz="1000">
              <a:solidFill>
                <a:srgbClr val="231F2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+994 50 228 64 34</a:t>
          </a:r>
          <a:r>
            <a:rPr lang="en-US" sz="1000">
              <a:solidFill>
                <a:srgbClr val="231F2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              </a:t>
          </a:r>
          <a:endParaRPr lang="ru-RU" sz="10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r>
            <a:rPr lang="ru-RU" sz="1000">
              <a:solidFill>
                <a:srgbClr val="231F2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+994 12 </a:t>
          </a:r>
          <a:r>
            <a:rPr lang="az-Latn-AZ" sz="1000">
              <a:solidFill>
                <a:srgbClr val="231F2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310 15 58</a:t>
          </a:r>
          <a:endParaRPr lang="ru-RU" sz="10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r>
            <a:rPr lang="az-Latn-AZ" sz="1000">
              <a:solidFill>
                <a:srgbClr val="231F2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*0555</a:t>
          </a:r>
          <a:endParaRPr lang="ru-RU" sz="10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ru-RU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showGridLines="0" tabSelected="1" zoomScaleNormal="98" zoomScalePageLayoutView="98" workbookViewId="0">
      <selection activeCell="A8" sqref="A8:G8"/>
    </sheetView>
  </sheetViews>
  <sheetFormatPr defaultColWidth="9.140625" defaultRowHeight="15.75" x14ac:dyDescent="0.25"/>
  <cols>
    <col min="1" max="1" width="4.28515625" style="2" customWidth="1"/>
    <col min="2" max="2" width="3.140625" style="2" customWidth="1"/>
    <col min="3" max="3" width="31.85546875" style="2" customWidth="1"/>
    <col min="4" max="4" width="13.7109375" style="2" customWidth="1"/>
    <col min="5" max="5" width="10.140625" style="2" customWidth="1"/>
    <col min="6" max="6" width="11.140625" style="2" customWidth="1"/>
    <col min="7" max="7" width="13.5703125" style="2" customWidth="1"/>
    <col min="8" max="16384" width="9.140625" style="2"/>
  </cols>
  <sheetData>
    <row r="1" spans="1:7" x14ac:dyDescent="0.25">
      <c r="A1" s="3"/>
      <c r="B1" s="3"/>
      <c r="C1" s="3"/>
      <c r="D1" s="3"/>
      <c r="E1" s="3"/>
      <c r="F1" s="3"/>
      <c r="G1" s="3"/>
    </row>
    <row r="2" spans="1:7" x14ac:dyDescent="0.25">
      <c r="A2" s="1"/>
    </row>
    <row r="3" spans="1:7" x14ac:dyDescent="0.25">
      <c r="A3" s="1"/>
    </row>
    <row r="4" spans="1:7" x14ac:dyDescent="0.25">
      <c r="A4" s="1"/>
    </row>
    <row r="6" spans="1:7" x14ac:dyDescent="0.25">
      <c r="A6" s="33" t="s">
        <v>59</v>
      </c>
      <c r="B6" s="32"/>
      <c r="C6" s="32"/>
      <c r="D6" s="32"/>
      <c r="E6" s="32"/>
      <c r="F6" s="34"/>
      <c r="G6" s="35"/>
    </row>
    <row r="7" spans="1:7" x14ac:dyDescent="0.25">
      <c r="A7" s="36"/>
      <c r="B7" s="37"/>
      <c r="C7" s="37"/>
      <c r="D7" s="37"/>
      <c r="E7" s="37"/>
      <c r="F7" s="38"/>
      <c r="G7" s="39"/>
    </row>
    <row r="8" spans="1:7" ht="16.5" x14ac:dyDescent="0.25">
      <c r="A8" s="63" t="s">
        <v>70</v>
      </c>
      <c r="B8" s="63"/>
      <c r="C8" s="63"/>
      <c r="D8" s="63"/>
      <c r="E8" s="63"/>
      <c r="F8" s="63"/>
      <c r="G8" s="63"/>
    </row>
    <row r="9" spans="1:7" ht="12.75" customHeight="1" x14ac:dyDescent="0.25">
      <c r="A9" s="37"/>
      <c r="B9" s="37"/>
      <c r="C9" s="37"/>
      <c r="D9" s="41"/>
      <c r="E9" s="37"/>
      <c r="F9" s="37"/>
      <c r="G9" s="37"/>
    </row>
    <row r="10" spans="1:7" ht="12.75" customHeight="1" x14ac:dyDescent="0.25">
      <c r="A10" s="37"/>
      <c r="B10" s="37"/>
      <c r="C10" s="37"/>
      <c r="D10" s="42"/>
      <c r="E10" s="37"/>
      <c r="F10" s="37"/>
      <c r="G10" s="37"/>
    </row>
    <row r="11" spans="1:7" x14ac:dyDescent="0.25">
      <c r="A11" s="37"/>
      <c r="B11" s="37"/>
      <c r="C11" s="37"/>
      <c r="D11" s="37"/>
      <c r="E11" s="37"/>
      <c r="F11" s="37"/>
      <c r="G11" s="37"/>
    </row>
    <row r="12" spans="1:7" x14ac:dyDescent="0.25">
      <c r="A12" s="37"/>
      <c r="B12" s="37"/>
      <c r="C12" s="37"/>
      <c r="D12" s="37"/>
      <c r="E12" s="37"/>
      <c r="F12" s="37"/>
      <c r="G12" s="37"/>
    </row>
    <row r="13" spans="1:7" x14ac:dyDescent="0.25">
      <c r="A13" s="40" t="s">
        <v>8</v>
      </c>
      <c r="B13" s="37"/>
      <c r="C13" s="37"/>
      <c r="D13" s="37"/>
      <c r="E13" s="37"/>
      <c r="F13" s="39" t="s">
        <v>1</v>
      </c>
      <c r="G13" s="43">
        <v>46192</v>
      </c>
    </row>
    <row r="14" spans="1:7" x14ac:dyDescent="0.25">
      <c r="A14" s="40" t="s">
        <v>9</v>
      </c>
      <c r="B14" s="37"/>
      <c r="C14" s="37"/>
      <c r="D14" s="37"/>
      <c r="E14" s="37"/>
      <c r="F14" s="39" t="s">
        <v>60</v>
      </c>
      <c r="G14" s="61" t="s">
        <v>71</v>
      </c>
    </row>
    <row r="15" spans="1:7" s="59" customFormat="1" ht="15" customHeight="1" x14ac:dyDescent="0.25">
      <c r="A15" s="40" t="s">
        <v>73</v>
      </c>
      <c r="B15" s="58"/>
      <c r="C15" s="58"/>
      <c r="D15" s="58"/>
      <c r="F15" s="60" t="s">
        <v>62</v>
      </c>
      <c r="G15" s="43">
        <v>45855</v>
      </c>
    </row>
    <row r="16" spans="1:7" x14ac:dyDescent="0.25">
      <c r="A16" s="40" t="s">
        <v>72</v>
      </c>
      <c r="B16" s="37"/>
      <c r="C16" s="44"/>
      <c r="D16" s="37"/>
      <c r="E16" s="37"/>
      <c r="F16" s="39" t="s">
        <v>0</v>
      </c>
      <c r="G16" s="39" t="s">
        <v>63</v>
      </c>
    </row>
    <row r="17" spans="1:7" x14ac:dyDescent="0.25">
      <c r="A17" s="40"/>
      <c r="B17" s="37"/>
      <c r="C17" s="37"/>
      <c r="D17" s="37"/>
      <c r="E17" s="37"/>
      <c r="F17" s="45"/>
      <c r="G17" s="37"/>
    </row>
    <row r="18" spans="1:7" x14ac:dyDescent="0.25">
      <c r="A18" s="37"/>
      <c r="B18" s="37"/>
      <c r="C18" s="37"/>
      <c r="D18" s="37"/>
      <c r="E18" s="37"/>
      <c r="F18" s="37"/>
      <c r="G18" s="45"/>
    </row>
    <row r="19" spans="1:7" ht="39.75" customHeight="1" x14ac:dyDescent="0.25">
      <c r="A19" s="46"/>
      <c r="B19" s="47"/>
      <c r="C19" s="48" t="s">
        <v>17</v>
      </c>
      <c r="D19" s="48" t="s">
        <v>18</v>
      </c>
      <c r="E19" s="48" t="s">
        <v>15</v>
      </c>
      <c r="F19" s="48" t="s">
        <v>16</v>
      </c>
      <c r="G19" s="48" t="s">
        <v>19</v>
      </c>
    </row>
    <row r="20" spans="1:7" ht="31.5" x14ac:dyDescent="0.25">
      <c r="A20" s="37"/>
      <c r="B20" s="49">
        <v>1</v>
      </c>
      <c r="C20" s="50" t="s">
        <v>64</v>
      </c>
      <c r="D20" s="49" t="s">
        <v>10</v>
      </c>
      <c r="E20" s="49">
        <v>1</v>
      </c>
      <c r="F20" s="49">
        <v>24000</v>
      </c>
      <c r="G20" s="51">
        <f>F20</f>
        <v>24000</v>
      </c>
    </row>
    <row r="21" spans="1:7" x14ac:dyDescent="0.25">
      <c r="A21" s="37"/>
      <c r="B21" s="37"/>
      <c r="C21" s="37"/>
      <c r="D21" s="37"/>
      <c r="E21" s="37"/>
      <c r="F21" s="39" t="s">
        <v>6</v>
      </c>
      <c r="G21" s="52">
        <f>SUM(G20:G20)</f>
        <v>24000</v>
      </c>
    </row>
    <row r="22" spans="1:7" x14ac:dyDescent="0.25">
      <c r="A22" s="37"/>
      <c r="B22" s="37"/>
      <c r="C22" s="37"/>
      <c r="D22" s="37"/>
      <c r="E22" s="37"/>
      <c r="F22" s="39" t="s">
        <v>2</v>
      </c>
      <c r="G22" s="52">
        <f>G21*18%</f>
        <v>4320</v>
      </c>
    </row>
    <row r="23" spans="1:7" x14ac:dyDescent="0.25">
      <c r="A23" s="37"/>
      <c r="B23" s="37"/>
      <c r="C23" s="37"/>
      <c r="D23" s="37"/>
      <c r="E23" s="37"/>
      <c r="F23" s="39" t="s">
        <v>7</v>
      </c>
      <c r="G23" s="53">
        <f>G21+G22</f>
        <v>28320</v>
      </c>
    </row>
    <row r="24" spans="1:7" x14ac:dyDescent="0.25">
      <c r="A24" s="37"/>
      <c r="B24" s="37"/>
      <c r="C24" s="37"/>
      <c r="D24" s="37"/>
      <c r="E24" s="37"/>
      <c r="F24" s="39"/>
      <c r="G24" s="54"/>
    </row>
    <row r="25" spans="1:7" x14ac:dyDescent="0.25">
      <c r="A25" s="37"/>
      <c r="B25" s="37"/>
      <c r="C25" s="38" t="s">
        <v>58</v>
      </c>
      <c r="D25" s="55" t="str">
        <f>reqem!B3</f>
        <v>Iyirmi səkkiz min üç yüz iyirmi manat 00 qəpik</v>
      </c>
      <c r="E25" s="37"/>
      <c r="F25" s="37"/>
      <c r="G25" s="37"/>
    </row>
    <row r="26" spans="1:7" x14ac:dyDescent="0.25">
      <c r="A26" s="37"/>
      <c r="B26" s="37"/>
      <c r="C26" s="37"/>
      <c r="D26" s="37"/>
      <c r="E26" s="37"/>
      <c r="F26" s="37"/>
      <c r="G26" s="37"/>
    </row>
    <row r="27" spans="1:7" ht="15.75" customHeight="1" x14ac:dyDescent="0.25">
      <c r="A27" s="37"/>
      <c r="B27" s="64" t="s">
        <v>69</v>
      </c>
      <c r="C27" s="65"/>
      <c r="D27" s="65"/>
      <c r="E27" s="65"/>
      <c r="F27" s="65"/>
      <c r="G27" s="65"/>
    </row>
    <row r="28" spans="1:7" x14ac:dyDescent="0.25">
      <c r="A28" s="37"/>
      <c r="B28" s="65"/>
      <c r="C28" s="65"/>
      <c r="D28" s="65"/>
      <c r="E28" s="65"/>
      <c r="F28" s="65"/>
      <c r="G28" s="65"/>
    </row>
    <row r="29" spans="1:7" x14ac:dyDescent="0.25">
      <c r="A29" s="37"/>
      <c r="B29" s="65"/>
      <c r="C29" s="65"/>
      <c r="D29" s="65"/>
      <c r="E29" s="65"/>
      <c r="F29" s="65"/>
      <c r="G29" s="65"/>
    </row>
    <row r="30" spans="1:7" ht="16.5" customHeight="1" x14ac:dyDescent="0.25">
      <c r="A30" s="37"/>
      <c r="B30" s="65"/>
      <c r="C30" s="65"/>
      <c r="D30" s="65"/>
      <c r="E30" s="65"/>
      <c r="F30" s="65"/>
      <c r="G30" s="65"/>
    </row>
    <row r="31" spans="1:7" ht="16.5" customHeight="1" x14ac:dyDescent="0.25">
      <c r="A31" s="37"/>
      <c r="B31" s="62"/>
      <c r="C31" s="62"/>
      <c r="D31" s="62"/>
      <c r="E31" s="62"/>
      <c r="F31" s="62"/>
      <c r="G31" s="62"/>
    </row>
    <row r="32" spans="1:7" ht="16.5" customHeight="1" x14ac:dyDescent="0.25">
      <c r="A32" s="37"/>
      <c r="B32" s="62"/>
      <c r="C32" s="62"/>
      <c r="D32" s="62"/>
      <c r="E32" s="62"/>
      <c r="F32" s="62"/>
      <c r="G32" s="62"/>
    </row>
    <row r="33" spans="1:7" x14ac:dyDescent="0.25">
      <c r="A33" s="56" t="s">
        <v>61</v>
      </c>
      <c r="B33" s="56"/>
      <c r="C33" s="37" t="s">
        <v>66</v>
      </c>
      <c r="D33" s="37"/>
      <c r="E33" s="37"/>
      <c r="F33" s="37"/>
      <c r="G33" s="37"/>
    </row>
    <row r="34" spans="1:7" x14ac:dyDescent="0.25">
      <c r="A34" s="57" t="s">
        <v>67</v>
      </c>
      <c r="B34" s="56"/>
      <c r="C34" s="56"/>
      <c r="D34" s="37"/>
      <c r="E34" s="37"/>
      <c r="F34" s="37"/>
      <c r="G34" s="37"/>
    </row>
    <row r="35" spans="1:7" x14ac:dyDescent="0.25">
      <c r="A35" s="57" t="s">
        <v>68</v>
      </c>
      <c r="B35" s="56"/>
      <c r="C35" s="56"/>
      <c r="D35" s="37"/>
      <c r="E35" s="37"/>
      <c r="F35" s="37"/>
      <c r="G35" s="37"/>
    </row>
    <row r="36" spans="1:7" x14ac:dyDescent="0.25">
      <c r="A36" s="57" t="s">
        <v>3</v>
      </c>
      <c r="B36" s="56"/>
      <c r="C36" s="37" t="s">
        <v>13</v>
      </c>
      <c r="D36" s="37"/>
      <c r="E36" s="37"/>
      <c r="F36" s="37"/>
      <c r="G36" s="37"/>
    </row>
    <row r="37" spans="1:7" x14ac:dyDescent="0.25">
      <c r="A37" s="57" t="s">
        <v>4</v>
      </c>
      <c r="B37" s="56"/>
      <c r="C37" s="37" t="s">
        <v>12</v>
      </c>
      <c r="D37" s="37"/>
      <c r="E37" s="37"/>
      <c r="F37" s="37"/>
      <c r="G37" s="37"/>
    </row>
    <row r="38" spans="1:7" x14ac:dyDescent="0.25">
      <c r="A38" s="57" t="s">
        <v>5</v>
      </c>
      <c r="B38" s="56"/>
      <c r="C38" s="37" t="s">
        <v>11</v>
      </c>
      <c r="D38" s="37"/>
      <c r="E38" s="37"/>
      <c r="F38" s="37"/>
      <c r="G38" s="37"/>
    </row>
    <row r="39" spans="1:7" x14ac:dyDescent="0.25">
      <c r="A39" s="37"/>
      <c r="B39" s="37"/>
      <c r="C39" s="37"/>
      <c r="D39" s="37"/>
      <c r="E39" s="37"/>
      <c r="F39" s="37"/>
      <c r="G39" s="37"/>
    </row>
    <row r="40" spans="1:7" x14ac:dyDescent="0.25">
      <c r="A40" s="37"/>
      <c r="B40" s="37"/>
      <c r="C40" s="37"/>
      <c r="D40" s="37"/>
      <c r="E40" s="37"/>
      <c r="F40" s="37"/>
      <c r="G40" s="37"/>
    </row>
    <row r="41" spans="1:7" x14ac:dyDescent="0.25">
      <c r="A41" s="37"/>
      <c r="B41" s="37"/>
      <c r="C41" s="37"/>
      <c r="D41" s="37"/>
      <c r="E41" s="37"/>
      <c r="F41" s="37"/>
      <c r="G41" s="37"/>
    </row>
    <row r="42" spans="1:7" x14ac:dyDescent="0.25">
      <c r="A42" s="37" t="s">
        <v>14</v>
      </c>
      <c r="B42" s="37"/>
      <c r="C42" s="37"/>
      <c r="D42" s="37"/>
      <c r="E42" s="37" t="s">
        <v>65</v>
      </c>
      <c r="F42" s="37"/>
      <c r="G42" s="37"/>
    </row>
    <row r="43" spans="1:7" x14ac:dyDescent="0.25">
      <c r="A43" s="37"/>
      <c r="B43" s="37"/>
      <c r="C43" s="37"/>
      <c r="D43" s="37"/>
      <c r="E43" s="37"/>
      <c r="F43" s="37"/>
      <c r="G43" s="37"/>
    </row>
    <row r="44" spans="1:7" x14ac:dyDescent="0.25">
      <c r="A44" s="37"/>
      <c r="B44" s="37"/>
      <c r="C44" s="37"/>
      <c r="D44" s="37"/>
      <c r="E44" s="37"/>
      <c r="F44" s="37"/>
      <c r="G44" s="37"/>
    </row>
    <row r="45" spans="1:7" x14ac:dyDescent="0.25">
      <c r="A45" s="37"/>
      <c r="B45" s="37"/>
      <c r="C45" s="37"/>
      <c r="D45" s="37"/>
      <c r="E45" s="37"/>
      <c r="F45" s="37"/>
      <c r="G45" s="37"/>
    </row>
    <row r="46" spans="1:7" x14ac:dyDescent="0.25">
      <c r="A46" s="37"/>
      <c r="B46" s="37"/>
      <c r="C46" s="37"/>
      <c r="D46" s="37"/>
      <c r="E46" s="37"/>
      <c r="F46" s="37"/>
      <c r="G46" s="37"/>
    </row>
    <row r="47" spans="1:7" x14ac:dyDescent="0.25">
      <c r="A47" s="37"/>
      <c r="B47" s="37"/>
      <c r="C47" s="37"/>
      <c r="D47" s="37"/>
      <c r="E47" s="37"/>
      <c r="F47" s="37"/>
      <c r="G47" s="37"/>
    </row>
    <row r="48" spans="1:7" ht="20.25" customHeight="1" x14ac:dyDescent="0.25">
      <c r="A48" s="37"/>
      <c r="B48" s="37"/>
      <c r="C48" s="37"/>
      <c r="D48" s="37"/>
      <c r="E48" s="37"/>
      <c r="F48" s="37"/>
      <c r="G48" s="37"/>
    </row>
  </sheetData>
  <mergeCells count="2">
    <mergeCell ref="A8:G8"/>
    <mergeCell ref="B27:G30"/>
  </mergeCells>
  <pageMargins left="0.7" right="0.5" top="0.28000000000000003" bottom="0.47" header="0.21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FB503-0549-4F45-86B9-423CFF945144}">
  <dimension ref="A1:G43"/>
  <sheetViews>
    <sheetView workbookViewId="0">
      <selection activeCell="E14" sqref="E14"/>
    </sheetView>
  </sheetViews>
  <sheetFormatPr defaultRowHeight="15" x14ac:dyDescent="0.25"/>
  <cols>
    <col min="1" max="3" width="9.28515625" bestFit="1" customWidth="1"/>
    <col min="5" max="5" width="13.85546875" bestFit="1" customWidth="1"/>
    <col min="6" max="6" width="9.28515625" bestFit="1" customWidth="1"/>
  </cols>
  <sheetData>
    <row r="1" spans="1:7" x14ac:dyDescent="0.25">
      <c r="A1" s="4"/>
      <c r="B1" s="5"/>
      <c r="C1" s="5"/>
      <c r="D1" s="4"/>
      <c r="E1" s="5"/>
      <c r="F1" s="5"/>
      <c r="G1" s="4"/>
    </row>
    <row r="2" spans="1:7" ht="18" x14ac:dyDescent="0.25">
      <c r="A2" s="4"/>
      <c r="B2" s="5"/>
      <c r="C2" s="5"/>
      <c r="D2" s="4"/>
      <c r="E2" s="6">
        <f>sərgi!G23</f>
        <v>28320</v>
      </c>
      <c r="F2" s="5"/>
      <c r="G2" s="4"/>
    </row>
    <row r="3" spans="1:7" ht="15.75" x14ac:dyDescent="0.25">
      <c r="A3" s="7"/>
      <c r="B3" s="8" t="str">
        <f>SUBSTITUTE(B5,F9,F10,1)</f>
        <v>Iyirmi səkkiz min üç yüz iyirmi manat 00 qəpik</v>
      </c>
      <c r="C3" s="9"/>
      <c r="D3" s="9"/>
      <c r="E3" s="10"/>
      <c r="F3" s="9"/>
      <c r="G3" s="9"/>
    </row>
    <row r="4" spans="1:7" x14ac:dyDescent="0.25">
      <c r="A4" s="7"/>
      <c r="B4" s="5" t="str">
        <f>SUBSTITUTE(B6,F9,F10,1)</f>
        <v>Iyirmi səkkiz min üç yüz iyirmi manat 00 qəpik</v>
      </c>
      <c r="C4" s="9"/>
      <c r="D4" s="9"/>
      <c r="E4" s="9"/>
      <c r="F4" s="9"/>
      <c r="G4" s="9"/>
    </row>
    <row r="5" spans="1:7" x14ac:dyDescent="0.25">
      <c r="A5" s="11"/>
      <c r="B5" s="5" t="str">
        <f>CONCATENATE(A8,A9,A10,A11,A12)</f>
        <v>iyirmi səkkiz min üç yüz iyirmi manat 00 qəpik</v>
      </c>
      <c r="C5" s="9"/>
      <c r="D5" s="9"/>
      <c r="E5" s="9"/>
      <c r="F5" s="9"/>
      <c r="G5" s="9"/>
    </row>
    <row r="6" spans="1:7" x14ac:dyDescent="0.25">
      <c r="A6" s="11"/>
      <c r="B6" s="5" t="str">
        <f>CONCATENATE(A8,A9,A10,A11,A12,B8,B9,C9)</f>
        <v>iyirmi səkkiz min üç yüz iyirmi manat 00 qəpik</v>
      </c>
      <c r="C6" s="9"/>
      <c r="D6" s="9"/>
      <c r="E6" s="9"/>
      <c r="F6" s="5"/>
      <c r="G6" s="5"/>
    </row>
    <row r="7" spans="1:7" x14ac:dyDescent="0.25">
      <c r="A7" s="9"/>
      <c r="B7" s="9"/>
      <c r="C7" s="9"/>
      <c r="D7" s="12"/>
      <c r="E7" s="9"/>
      <c r="F7" s="9"/>
      <c r="G7" s="9"/>
    </row>
    <row r="8" spans="1:7" x14ac:dyDescent="0.25">
      <c r="A8" s="13" t="str">
        <f>CONCATENATE(IF(B15=0,"",E15),IF(B16=0,"",IF(C17&lt;20,IF(C17&lt;16,IF(C17&lt;10,E16,D17),F17),E16)),IF(B17=0,"",IF(NOT(B16=1),E17,"")),F18)</f>
        <v/>
      </c>
      <c r="B8" s="9"/>
      <c r="C8" s="9"/>
      <c r="D8" s="12"/>
      <c r="E8" s="9"/>
      <c r="F8" s="14">
        <f>CODE(B6)</f>
        <v>105</v>
      </c>
      <c r="G8" s="15"/>
    </row>
    <row r="9" spans="1:7" x14ac:dyDescent="0.25">
      <c r="A9" s="16" t="str">
        <f>CONCATENATE(IF(B19=0,"",E19),IF(B20=0,"",IF(C21&lt;20,IF(C21&lt;16,IF(C21&lt;10,E20,D21),F21),E20)),IF(B21=0,"",IF(NOT(B20=1),E21,"")),F22)</f>
        <v/>
      </c>
      <c r="B9" s="17"/>
      <c r="C9" s="9"/>
      <c r="D9" s="18"/>
      <c r="E9" s="9"/>
      <c r="F9" s="14" t="str">
        <f>CHAR(F8)</f>
        <v>i</v>
      </c>
      <c r="G9" s="15"/>
    </row>
    <row r="10" spans="1:7" x14ac:dyDescent="0.25">
      <c r="A10" s="16" t="str">
        <f>CONCATENATE(IF(B23=0,"",E23),IF(B24=0,"",IF(C25&lt;20,IF(C25&lt;16,IF(C25&lt;10,E24,D25),F25),E24)),IF(B25=0,"",IF(NOT(B24=1),E25,"")),F26)</f>
        <v xml:space="preserve">iyirmi səkkiz min </v>
      </c>
      <c r="B10" s="16"/>
      <c r="C10" s="16"/>
      <c r="D10" s="19"/>
      <c r="E10" s="20"/>
      <c r="F10" s="14" t="str">
        <f>PROPER(F9)</f>
        <v>I</v>
      </c>
      <c r="G10" s="15"/>
    </row>
    <row r="11" spans="1:7" x14ac:dyDescent="0.25">
      <c r="A11" s="16" t="str">
        <f>CONCATENATE(IF(B27=0,"",E27),IF(B28=0,"",IF(C29&lt;20,IF(C29&lt;16,IF(C29&lt;10,E28,D29),F29),E28)),IF(B29=0,"",IF(NOT(B28=1),E29,"")),F30)</f>
        <v xml:space="preserve">üç yüz iyirmi manat </v>
      </c>
      <c r="B11" s="16"/>
      <c r="C11" s="16"/>
      <c r="D11" s="19"/>
      <c r="E11" s="20"/>
      <c r="F11" s="16"/>
      <c r="G11" s="16"/>
    </row>
    <row r="12" spans="1:7" x14ac:dyDescent="0.25">
      <c r="A12" s="21" t="str">
        <f>CONCATENATE(IF(C31=0,"0",C31),IF(C32=0,"0",C32)," ",F33)</f>
        <v>00 qəpik</v>
      </c>
      <c r="B12" s="16"/>
      <c r="C12" s="16"/>
      <c r="D12" s="19"/>
      <c r="E12" s="20"/>
      <c r="F12" s="16"/>
      <c r="G12" s="16"/>
    </row>
    <row r="13" spans="1:7" x14ac:dyDescent="0.25">
      <c r="A13" s="21"/>
      <c r="B13" s="16"/>
      <c r="C13" s="16"/>
      <c r="D13" s="22"/>
      <c r="E13" s="23">
        <f>TRUNC(E2)</f>
        <v>28320</v>
      </c>
      <c r="F13" s="22" t="s">
        <v>20</v>
      </c>
      <c r="G13" s="16"/>
    </row>
    <row r="14" spans="1:7" x14ac:dyDescent="0.25">
      <c r="A14" s="24">
        <f>TRUNC(A15/10)</f>
        <v>0</v>
      </c>
      <c r="B14" s="19"/>
      <c r="C14" s="22"/>
      <c r="D14" s="16"/>
      <c r="E14" s="16"/>
      <c r="F14" s="16"/>
      <c r="G14" s="16"/>
    </row>
    <row r="15" spans="1:7" x14ac:dyDescent="0.25">
      <c r="A15" s="24">
        <f>TRUNC(A16/10)</f>
        <v>0</v>
      </c>
      <c r="B15" s="19">
        <f>TRUNC(RIGHT(A15))</f>
        <v>0</v>
      </c>
      <c r="C15" s="22">
        <f>B15</f>
        <v>0</v>
      </c>
      <c r="D15" s="16"/>
      <c r="E15" s="25" t="str">
        <f>IF(B15=1,E43,IF(B15=2,G35,IF(B15=3,G36,IF(B15=4,G37,IF(B15=5,G38,IF(B15=6,G39,IF(B15=7,G40,IF(B15=8,G41,G42))))))))</f>
        <v xml:space="preserve">doqquz yüz </v>
      </c>
      <c r="F15" s="16"/>
      <c r="G15" s="16"/>
    </row>
    <row r="16" spans="1:7" x14ac:dyDescent="0.25">
      <c r="A16" s="24">
        <f>TRUNC(A17/10)</f>
        <v>0</v>
      </c>
      <c r="B16" s="19">
        <f>TRUNC(RIGHT(A16))</f>
        <v>0</v>
      </c>
      <c r="C16" s="22">
        <f>IF(B16=1,"",B16)</f>
        <v>0</v>
      </c>
      <c r="D16" s="16"/>
      <c r="E16" s="26" t="str">
        <f>IF(OR(C16=0,B16=1),"",IF(B16=2,E35,IF(B16=3,E36,IF(B16=4,E37,IF(B16=5,E38,IF(B16=6,E39,IF(B16=7,E40,IF(B16=8,E41,E42))))))))</f>
        <v/>
      </c>
      <c r="F16" s="16"/>
      <c r="G16" s="16"/>
    </row>
    <row r="17" spans="1:7" x14ac:dyDescent="0.25">
      <c r="A17" s="24">
        <f>TRUNC(A19/10)</f>
        <v>0</v>
      </c>
      <c r="B17" s="19">
        <f>TRUNC(RIGHT(A17))</f>
        <v>0</v>
      </c>
      <c r="C17" s="22">
        <f>IF(B16=1,B17+10,IF(B17=0,0,B17))</f>
        <v>0</v>
      </c>
      <c r="D17" s="16" t="str">
        <f>IF(AND(C17&gt;9,C17&lt;16),IF(C17=10,D34,IF(C17=11,D35,IF(C17=12,D36,IF(C17=13,D37,IF(C17=14,D38,IF(C17=15,D39,)))))),"")</f>
        <v/>
      </c>
      <c r="E17" s="26" t="str">
        <f>IF(B17=1,A34,IF(B17=2,A35,IF(B17=3,A36,IF(B17=4,A37,IF(B17=5,A38,IF(B17=6,A39,IF(B17=7,A40,IF(B17=8,A41,A42))))))))</f>
        <v xml:space="preserve">doqquz </v>
      </c>
      <c r="F17" s="16" t="str">
        <f>IF(AND(C17&gt;15,C17&lt;20),IF(C17=16,D40,IF(C17=17,D41,IF(C17=18,D42,IF(C17=19,D43,)))),"")</f>
        <v/>
      </c>
      <c r="G17" s="16"/>
    </row>
    <row r="18" spans="1:7" x14ac:dyDescent="0.25">
      <c r="A18" s="24"/>
      <c r="B18" s="19"/>
      <c r="C18" s="16"/>
      <c r="D18" s="19"/>
      <c r="E18" s="16">
        <f>B17+B16*10+B15*100</f>
        <v>0</v>
      </c>
      <c r="F18" s="16" t="str">
        <f>IF(E18=0,"",IF(B16=1,"миллиардов ",IF(B17=1,"милиард ",IF(OR(B17=2,B17=3,B17=4),"миллиарда ","милиардов "))))</f>
        <v/>
      </c>
      <c r="G18" s="16"/>
    </row>
    <row r="19" spans="1:7" x14ac:dyDescent="0.25">
      <c r="A19" s="24">
        <f>TRUNC(A20/10)</f>
        <v>0</v>
      </c>
      <c r="B19" s="19">
        <f>TRUNC(RIGHT(A19))</f>
        <v>0</v>
      </c>
      <c r="C19" s="22">
        <f>B19</f>
        <v>0</v>
      </c>
      <c r="D19" s="16"/>
      <c r="E19" s="25" t="str">
        <f>IF(B19=1,E43,IF(B19=2,G35,IF(B19=3,G36,IF(B19=4,G37,IF(B19=5,G38,IF(B19=6,G39,IF(B19=7,G40,IF(B19=8,G41,G42))))))))</f>
        <v xml:space="preserve">doqquz yüz </v>
      </c>
      <c r="F19" s="16"/>
      <c r="G19" s="16"/>
    </row>
    <row r="20" spans="1:7" x14ac:dyDescent="0.25">
      <c r="A20" s="24">
        <f>TRUNC(A21/10)</f>
        <v>0</v>
      </c>
      <c r="B20" s="19">
        <f>TRUNC(RIGHT(A20))</f>
        <v>0</v>
      </c>
      <c r="C20" s="22">
        <f>IF(B20=1,"",B20)</f>
        <v>0</v>
      </c>
      <c r="D20" s="16"/>
      <c r="E20" s="26" t="str">
        <f>IF(OR(C20=0,B20=1),"",IF(B20=2,E35,IF(B20=3,E36,IF(B20=4,E37,IF(B20=5,E38,IF(B20=6,E39,IF(B20=7,E40,IF(B20=8,E41,E42))))))))</f>
        <v/>
      </c>
      <c r="F20" s="16"/>
      <c r="G20" s="9"/>
    </row>
    <row r="21" spans="1:7" x14ac:dyDescent="0.25">
      <c r="A21" s="24">
        <f>TRUNC(A23/10)</f>
        <v>0</v>
      </c>
      <c r="B21" s="19">
        <f>TRUNC(RIGHT(A21))</f>
        <v>0</v>
      </c>
      <c r="C21" s="22">
        <f>IF(B20=1,B21+10,IF(B21=0,0,B21))</f>
        <v>0</v>
      </c>
      <c r="D21" s="16" t="str">
        <f>IF(AND(C21&gt;9,C21&lt;16),IF(C21=10,D34,IF(C21=11,D35,IF(C21=12,D36,IF(C21=13,D37,IF(C21=14,D38,IF(C21=15,D39,)))))),"")</f>
        <v/>
      </c>
      <c r="E21" s="26" t="str">
        <f>IF(B21=1,A34,IF(B21=2,A35,IF(B21=3,A36,IF(B21=4,A37,IF(B21=5,A38,IF(B21=6,A39,IF(B21=7,A40,IF(B21=8,A41,A42))))))))</f>
        <v xml:space="preserve">doqquz </v>
      </c>
      <c r="F21" s="16" t="str">
        <f>IF(AND(C21&gt;15,C21&lt;20),IF(C21=16,D40,IF(C21=17,D41,IF(C21=18,D42,IF(C21=19,D43,)))),"")</f>
        <v/>
      </c>
      <c r="G21" s="16"/>
    </row>
    <row r="22" spans="1:7" x14ac:dyDescent="0.25">
      <c r="A22" s="24"/>
      <c r="B22" s="19"/>
      <c r="C22" s="22"/>
      <c r="D22" s="16"/>
      <c r="E22" s="16">
        <f>B21+B20*10+B19*100</f>
        <v>0</v>
      </c>
      <c r="F22" s="16" t="str">
        <f>IF(E22=0,"",IF(B20=1,"milyon ",IF(B21=1,"milyon ",IF(OR(B21=2,B21=3,B21=4),"milyon ","milyon "))))</f>
        <v/>
      </c>
      <c r="G22" s="16"/>
    </row>
    <row r="23" spans="1:7" x14ac:dyDescent="0.25">
      <c r="A23" s="24">
        <f>TRUNC(A24/10)</f>
        <v>0</v>
      </c>
      <c r="B23" s="19">
        <f>TRUNC(RIGHT(A23))</f>
        <v>0</v>
      </c>
      <c r="C23" s="22">
        <f>B23</f>
        <v>0</v>
      </c>
      <c r="D23" s="16"/>
      <c r="E23" s="25" t="str">
        <f>IF(B23=1,E43,IF(B23=2,G35,IF(B23=3,G36,IF(B23=4,G37,IF(B23=5,G38,IF(B23=6,G39,IF(B23=7,G40,IF(B23=8,G41,G42))))))))</f>
        <v xml:space="preserve">doqquz yüz </v>
      </c>
      <c r="F23" s="16"/>
      <c r="G23" s="16"/>
    </row>
    <row r="24" spans="1:7" x14ac:dyDescent="0.25">
      <c r="A24" s="24">
        <f>TRUNC(A25/10)</f>
        <v>2</v>
      </c>
      <c r="B24" s="19">
        <f>TRUNC(RIGHT(A24))</f>
        <v>2</v>
      </c>
      <c r="C24" s="22">
        <f>IF(B24=1,"",B24)</f>
        <v>2</v>
      </c>
      <c r="D24" s="16"/>
      <c r="E24" s="26" t="str">
        <f>IF(OR(C24=0,B24=1),"",IF(B24=2,E35,IF(B24=3,E36,IF(B24=4,E37,IF(B24=5,E38,IF(B24=6,E39,IF(B24=7,E40,IF(B24=8,E41,E42))))))))</f>
        <v xml:space="preserve">iyirmi </v>
      </c>
      <c r="F24" s="16"/>
      <c r="G24" s="16"/>
    </row>
    <row r="25" spans="1:7" x14ac:dyDescent="0.25">
      <c r="A25" s="24">
        <f>TRUNC(A27/10)</f>
        <v>28</v>
      </c>
      <c r="B25" s="19">
        <f>TRUNC(RIGHT(A25))</f>
        <v>8</v>
      </c>
      <c r="C25" s="22">
        <f>IF(B24=1,B25+10,IF(B25=0,0,B25))</f>
        <v>8</v>
      </c>
      <c r="D25" s="16" t="str">
        <f>IF(AND(C25&gt;9,C25&lt;16),IF(C25=10,D34,IF(C25=11,D35,IF(C25=12,D36,IF(C25=13,D37,IF(C25=14,D38,IF(C25=15,D39,)))))),"")</f>
        <v/>
      </c>
      <c r="E25" s="26" t="str">
        <f>IF(B25=1,B34,IF(B25=2,B35,IF(B25=3,A36,IF(B25=4,A37,IF(B25=5,A38,IF(B25=6,A39,IF(B25=7,A40,IF(B25=8,A41,A42))))))))</f>
        <v xml:space="preserve">səkkiz </v>
      </c>
      <c r="F25" s="16" t="str">
        <f>IF(AND(C25&gt;15,C25&lt;20),IF(C25=16,D40,IF(C25=17,D41,IF(C25=18,D42,IF(C25=19,D43,)))),"")</f>
        <v/>
      </c>
      <c r="G25" s="16"/>
    </row>
    <row r="26" spans="1:7" x14ac:dyDescent="0.25">
      <c r="A26" s="24"/>
      <c r="B26" s="19"/>
      <c r="C26" s="22"/>
      <c r="D26" s="16"/>
      <c r="E26" s="27">
        <f>B23*100+B24*10+B25</f>
        <v>28</v>
      </c>
      <c r="F26" s="16" t="str">
        <f>IF(E26=0,"",IF(B24=1,"min ",IF(B25=1,"min ",IF(OR(B25=2,B25=3,B25=4),"min ","min "))))</f>
        <v xml:space="preserve">min </v>
      </c>
      <c r="G26" s="16"/>
    </row>
    <row r="27" spans="1:7" x14ac:dyDescent="0.25">
      <c r="A27" s="24">
        <f>TRUNC(A28/10)</f>
        <v>283</v>
      </c>
      <c r="B27" s="19">
        <f>TRUNC(RIGHT(A27))</f>
        <v>3</v>
      </c>
      <c r="C27" s="22">
        <f>B27</f>
        <v>3</v>
      </c>
      <c r="D27" s="16"/>
      <c r="E27" s="25" t="str">
        <f>IF(B27=1,E43,IF(B27=2,G35,IF(B27=3,G36,IF(B27=4,G37,IF(B27=5,G38,IF(B27=6,G39,IF(B27=7,G40,IF(B27=8,G41,G42))))))))</f>
        <v xml:space="preserve">üç yüz </v>
      </c>
      <c r="F27" s="16"/>
      <c r="G27" s="16"/>
    </row>
    <row r="28" spans="1:7" x14ac:dyDescent="0.25">
      <c r="A28" s="24">
        <f>TRUNC(A29/10)</f>
        <v>2832</v>
      </c>
      <c r="B28" s="28">
        <f>TRUNC(RIGHT(A28))</f>
        <v>2</v>
      </c>
      <c r="C28" s="22">
        <f>IF(B28=1,"",B28)</f>
        <v>2</v>
      </c>
      <c r="D28" s="16"/>
      <c r="E28" s="26" t="str">
        <f>IF(OR(C28=0,B28=1),"",IF(C28=2,E35,IF(C28=3,E36,IF(C28=4,E37,IF(C28=5,E38,IF(C28=6,E39,IF(C28=7,E40,IF(C28=8,E41,E42))))))))</f>
        <v xml:space="preserve">iyirmi </v>
      </c>
      <c r="F28" s="16"/>
      <c r="G28" s="19"/>
    </row>
    <row r="29" spans="1:7" x14ac:dyDescent="0.25">
      <c r="A29" s="24">
        <f>E13</f>
        <v>28320</v>
      </c>
      <c r="B29" s="19">
        <f>TRUNC(RIGHT(A29))</f>
        <v>0</v>
      </c>
      <c r="C29" s="22">
        <f>IF(B28=1,B29+10,IF(B29=0,0,B29))</f>
        <v>0</v>
      </c>
      <c r="D29" s="16" t="str">
        <f>IF(AND(C29&gt;9,C29&lt;16),IF(C29=10,D34,IF(C29=11,D35,IF(C29=12,D36,IF(C29=13,D37,IF(C29=14,D38,IF(C29=15,D39,)))))),"")</f>
        <v/>
      </c>
      <c r="E29" s="26" t="str">
        <f>IF(B29=1,A34,IF(B29=2,A35,IF(B29=3,A36,IF(B29=4,A37,IF(B29=5,A38,IF(B29=6,A39,IF(B29=7,A40,IF(B29=8,A41,A42))))))))</f>
        <v xml:space="preserve">doqquz </v>
      </c>
      <c r="F29" s="16" t="str">
        <f>IF(AND(C29&gt;15,C29&lt;20),IF(C29=16,D40,IF(C29=17,D41,IF(C29=18,D42,IF(C29=19,D43,)))),"")</f>
        <v/>
      </c>
      <c r="G29" s="19"/>
    </row>
    <row r="30" spans="1:7" x14ac:dyDescent="0.25">
      <c r="A30" s="21"/>
      <c r="B30" s="28"/>
      <c r="C30" s="29"/>
      <c r="D30" s="16"/>
      <c r="E30" s="27">
        <f>B27*100+B28*10+B29</f>
        <v>320</v>
      </c>
      <c r="F30" s="16" t="str">
        <f>IF(E30+E26+E22+E18=0," sıfır manat ",IF(C29=1,"manat ",IF(OR(C29=2,C29=3,C29=4),"manat ","manat ")))</f>
        <v xml:space="preserve">manat </v>
      </c>
      <c r="G30" s="19"/>
    </row>
    <row r="31" spans="1:7" x14ac:dyDescent="0.25">
      <c r="A31" s="30">
        <f>ROUND(100*(E2-E13),0)</f>
        <v>0</v>
      </c>
      <c r="B31" s="16"/>
      <c r="C31" s="29">
        <f>TRUNC(A31/10)</f>
        <v>0</v>
      </c>
      <c r="D31" s="16"/>
      <c r="E31" s="26" t="str">
        <f>IF(OR(C31=1,C31=0),"",IF(C31=2,E35,IF(C31=3,E36,IF(C31=4,E37,IF(C31=5,E38,IF(C31=6,E39,IF(C31=7,E40,IF(C31=8,E41,E42))))))))</f>
        <v/>
      </c>
      <c r="F31" s="16"/>
      <c r="G31" s="16"/>
    </row>
    <row r="32" spans="1:7" x14ac:dyDescent="0.25">
      <c r="A32" s="16"/>
      <c r="B32" s="16"/>
      <c r="C32" s="29">
        <f>TRUNC(A31-C31*10)</f>
        <v>0</v>
      </c>
      <c r="D32" s="16"/>
      <c r="E32" s="26" t="str">
        <f>IF(C32=1,B34,IF(C32=2,B35,IF(C32=3,A36,IF(C32=4,A37,IF(C32=5,A38,IF(C32=6,A39,IF(C32=7,A40,IF(C32=8,A41,A42))))))))</f>
        <v xml:space="preserve">doqquz </v>
      </c>
      <c r="F32" s="16"/>
      <c r="G32" s="16"/>
    </row>
    <row r="33" spans="1:7" x14ac:dyDescent="0.25">
      <c r="A33" s="16"/>
      <c r="B33" s="16"/>
      <c r="C33" s="16"/>
      <c r="D33" s="16"/>
      <c r="E33" s="16"/>
      <c r="F33" s="16" t="s">
        <v>21</v>
      </c>
      <c r="G33" s="16"/>
    </row>
    <row r="34" spans="1:7" x14ac:dyDescent="0.25">
      <c r="A34" s="31" t="s">
        <v>22</v>
      </c>
      <c r="B34" s="31" t="s">
        <v>22</v>
      </c>
      <c r="C34" s="31"/>
      <c r="D34" s="31" t="s">
        <v>23</v>
      </c>
      <c r="E34" s="16"/>
      <c r="F34" s="16"/>
      <c r="G34" s="16"/>
    </row>
    <row r="35" spans="1:7" x14ac:dyDescent="0.25">
      <c r="A35" s="31" t="s">
        <v>24</v>
      </c>
      <c r="B35" s="31" t="s">
        <v>24</v>
      </c>
      <c r="C35" s="31"/>
      <c r="D35" s="31" t="s">
        <v>25</v>
      </c>
      <c r="E35" s="31" t="s">
        <v>26</v>
      </c>
      <c r="F35" s="16"/>
      <c r="G35" s="31" t="s">
        <v>27</v>
      </c>
    </row>
    <row r="36" spans="1:7" x14ac:dyDescent="0.25">
      <c r="A36" s="31" t="s">
        <v>28</v>
      </c>
      <c r="B36" s="31"/>
      <c r="C36" s="31"/>
      <c r="D36" s="31" t="s">
        <v>29</v>
      </c>
      <c r="E36" s="31" t="s">
        <v>30</v>
      </c>
      <c r="F36" s="16"/>
      <c r="G36" s="31" t="s">
        <v>31</v>
      </c>
    </row>
    <row r="37" spans="1:7" x14ac:dyDescent="0.25">
      <c r="A37" s="31" t="s">
        <v>32</v>
      </c>
      <c r="B37" s="31"/>
      <c r="C37" s="31"/>
      <c r="D37" s="31" t="s">
        <v>33</v>
      </c>
      <c r="E37" s="31" t="s">
        <v>34</v>
      </c>
      <c r="F37" s="16"/>
      <c r="G37" s="31" t="s">
        <v>35</v>
      </c>
    </row>
    <row r="38" spans="1:7" x14ac:dyDescent="0.25">
      <c r="A38" s="31" t="s">
        <v>36</v>
      </c>
      <c r="B38" s="31"/>
      <c r="C38" s="31"/>
      <c r="D38" s="31" t="s">
        <v>37</v>
      </c>
      <c r="E38" s="31" t="s">
        <v>38</v>
      </c>
      <c r="F38" s="16"/>
      <c r="G38" s="31" t="s">
        <v>39</v>
      </c>
    </row>
    <row r="39" spans="1:7" x14ac:dyDescent="0.25">
      <c r="A39" s="31" t="s">
        <v>40</v>
      </c>
      <c r="B39" s="31"/>
      <c r="C39" s="31"/>
      <c r="D39" s="31" t="s">
        <v>41</v>
      </c>
      <c r="E39" s="31" t="s">
        <v>42</v>
      </c>
      <c r="F39" s="16"/>
      <c r="G39" s="31" t="s">
        <v>43</v>
      </c>
    </row>
    <row r="40" spans="1:7" x14ac:dyDescent="0.25">
      <c r="A40" s="31" t="s">
        <v>44</v>
      </c>
      <c r="B40" s="31"/>
      <c r="C40" s="31"/>
      <c r="D40" s="31" t="s">
        <v>45</v>
      </c>
      <c r="E40" s="31" t="s">
        <v>46</v>
      </c>
      <c r="F40" s="16"/>
      <c r="G40" s="31" t="s">
        <v>47</v>
      </c>
    </row>
    <row r="41" spans="1:7" x14ac:dyDescent="0.25">
      <c r="A41" s="31" t="s">
        <v>48</v>
      </c>
      <c r="B41" s="31"/>
      <c r="C41" s="31"/>
      <c r="D41" s="31" t="s">
        <v>49</v>
      </c>
      <c r="E41" s="31" t="s">
        <v>50</v>
      </c>
      <c r="F41" s="16"/>
      <c r="G41" s="31" t="s">
        <v>51</v>
      </c>
    </row>
    <row r="42" spans="1:7" x14ac:dyDescent="0.25">
      <c r="A42" s="31" t="s">
        <v>52</v>
      </c>
      <c r="B42" s="31"/>
      <c r="C42" s="31"/>
      <c r="D42" s="31" t="s">
        <v>53</v>
      </c>
      <c r="E42" s="31" t="s">
        <v>54</v>
      </c>
      <c r="F42" s="16"/>
      <c r="G42" s="31" t="s">
        <v>55</v>
      </c>
    </row>
    <row r="43" spans="1:7" x14ac:dyDescent="0.25">
      <c r="A43" s="16"/>
      <c r="B43" s="31"/>
      <c r="C43" s="31"/>
      <c r="D43" s="31" t="s">
        <v>56</v>
      </c>
      <c r="E43" s="31" t="s">
        <v>57</v>
      </c>
      <c r="F43" s="16"/>
      <c r="G43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İş vərəqləri</vt:lpstr>
      </vt:variant>
      <vt:variant>
        <vt:i4>2</vt:i4>
      </vt:variant>
    </vt:vector>
  </HeadingPairs>
  <TitlesOfParts>
    <vt:vector size="2" baseType="lpstr">
      <vt:lpstr>sərgi</vt:lpstr>
      <vt:lpstr>reqem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2026-06-19T11:48:15Z</dcterms:modified>
</cp:coreProperties>
</file>